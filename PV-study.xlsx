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zhang/Downloads/"/>
    </mc:Choice>
  </mc:AlternateContent>
  <xr:revisionPtr revIDLastSave="0" documentId="8_{E054882B-9974-A34F-B5B2-08715DD5CAC7}" xr6:coauthVersionLast="47" xr6:coauthVersionMax="47" xr10:uidLastSave="{00000000-0000-0000-0000-000000000000}"/>
  <bookViews>
    <workbookView xWindow="900" yWindow="760" windowWidth="27820" windowHeight="17240" xr2:uid="{E0EA9F27-B852-254F-8228-E04290B27A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6" i="1"/>
  <c r="E16" i="1"/>
  <c r="F14" i="1"/>
  <c r="E14" i="1"/>
  <c r="E1" i="1"/>
</calcChain>
</file>

<file path=xl/sharedStrings.xml><?xml version="1.0" encoding="utf-8"?>
<sst xmlns="http://schemas.openxmlformats.org/spreadsheetml/2006/main" count="14" uniqueCount="4">
  <si>
    <t>CLV</t>
  </si>
  <si>
    <t>Grid</t>
  </si>
  <si>
    <t>PV</t>
  </si>
  <si>
    <t>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</si>
</sst>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2328"/>
      <name val="Helvetica"/>
      <family val="2"/>
    </font>
    <font>
      <sz val="14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Load and Energy Generated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Sheet1!$E$1:$E$12</c:f>
              <c:numCache>
                <c:formatCode>General</c:formatCode>
                <c:ptCount val="12"/>
                <c:pt idx="0">
                  <c:v>264168.84999999998</c:v>
                </c:pt>
                <c:pt idx="1">
                  <c:v>215517.91</c:v>
                </c:pt>
                <c:pt idx="2">
                  <c:v>187155.44</c:v>
                </c:pt>
                <c:pt idx="3">
                  <c:v>117255.55</c:v>
                </c:pt>
                <c:pt idx="4">
                  <c:v>47653.91</c:v>
                </c:pt>
                <c:pt idx="5">
                  <c:v>33989.54</c:v>
                </c:pt>
                <c:pt idx="6">
                  <c:v>31044.61</c:v>
                </c:pt>
                <c:pt idx="7">
                  <c:v>40732.800000000003</c:v>
                </c:pt>
                <c:pt idx="8">
                  <c:v>67490.13</c:v>
                </c:pt>
                <c:pt idx="9">
                  <c:v>136489.74</c:v>
                </c:pt>
                <c:pt idx="10">
                  <c:v>191172.89</c:v>
                </c:pt>
                <c:pt idx="11">
                  <c:v>248642.75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E94E-B5C3-301FC427BDF3}"/>
            </c:ext>
          </c:extLst>
        </c:ser>
        <c:ser>
          <c:idx val="1"/>
          <c:order val="1"/>
          <c:tx>
            <c:v>Energy Generated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Sheet1!$F$1:$F$12</c:f>
              <c:numCache>
                <c:formatCode>General</c:formatCode>
                <c:ptCount val="12"/>
                <c:pt idx="0">
                  <c:v>16818.400000000001</c:v>
                </c:pt>
                <c:pt idx="1">
                  <c:v>16739.2</c:v>
                </c:pt>
                <c:pt idx="2">
                  <c:v>30817.3</c:v>
                </c:pt>
                <c:pt idx="3">
                  <c:v>41273.5</c:v>
                </c:pt>
                <c:pt idx="4">
                  <c:v>43895.7</c:v>
                </c:pt>
                <c:pt idx="5">
                  <c:v>47171.8</c:v>
                </c:pt>
                <c:pt idx="6">
                  <c:v>45760.4</c:v>
                </c:pt>
                <c:pt idx="7">
                  <c:v>41346.300000000003</c:v>
                </c:pt>
                <c:pt idx="8">
                  <c:v>32497</c:v>
                </c:pt>
                <c:pt idx="9">
                  <c:v>25880</c:v>
                </c:pt>
                <c:pt idx="10">
                  <c:v>18308.3</c:v>
                </c:pt>
                <c:pt idx="11">
                  <c:v>12477.5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E94E-B5C3-301FC427B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598016"/>
        <c:axId val="273407936"/>
      </c:barChart>
      <c:catAx>
        <c:axId val="27359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07936"/>
        <c:crosses val="autoZero"/>
        <c:auto val="1"/>
        <c:lblAlgn val="ctr"/>
        <c:lblOffset val="100"/>
        <c:noMultiLvlLbl val="0"/>
      </c:catAx>
      <c:valAx>
        <c:axId val="2734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</a:t>
            </a:r>
            <a:r>
              <a:rPr lang="en-US" baseline="0"/>
              <a:t> 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Sheet1!$E$15:$F$15</c:f>
              <c:strCache>
                <c:ptCount val="2"/>
                <c:pt idx="0">
                  <c:v>Grid</c:v>
                </c:pt>
                <c:pt idx="1">
                  <c:v>PV</c:v>
                </c:pt>
              </c:strCache>
            </c:strRef>
          </c:cat>
          <c:val>
            <c:numRef>
              <c:f>Sheet1!$E$16:$F$16</c:f>
              <c:numCache>
                <c:formatCode>General</c:formatCode>
                <c:ptCount val="2"/>
                <c:pt idx="0">
                  <c:v>1208328.7200000002</c:v>
                </c:pt>
                <c:pt idx="1">
                  <c:v>372985.4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0-E044-A018-E72A6AF34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622300</xdr:colOff>
      <xdr:row>11</xdr:row>
      <xdr:rowOff>76200</xdr:rowOff>
    </xdr:from>
    <xdr:to>
      <xdr:col>13</xdr:col>
      <xdr:colOff>241300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850D7-B876-AE51-D6E9-172A07EA5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374650</xdr:colOff>
      <xdr:row>11</xdr:row>
      <xdr:rowOff>88900</xdr:rowOff>
    </xdr:from>
    <xdr:to>
      <xdr:col>18</xdr:col>
      <xdr:colOff>819150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7C942-7AD8-62A2-10E3-4669DDFC3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C55E-819D-D94C-9D5A-ED25ABDB455C}">
  <dimension ref="A1:H16"/>
  <sheetViews>
    <sheetView tabSelected="1" workbookViewId="0">
      <selection activeCell="G19" sqref="G19"/>
    </sheetView>
  </sheetViews>
  <sheetFormatPr baseColWidth="10" defaultRowHeight="16" x14ac:dyDescent="0.2"/>
  <sheetData>
    <row r="1" spans="1:8" x14ac:dyDescent="0.2">
      <c r="A1" s="1">
        <v>264168.84999999998</v>
      </c>
      <c r="E1">
        <f>A1</f>
        <v>264168.84999999998</v>
      </c>
      <c r="F1">
        <v>16818.400000000001</v>
      </c>
    </row>
    <row r="2" spans="1:8" ht="18" x14ac:dyDescent="0.2">
      <c r="A2" s="2"/>
      <c r="B2" s="3">
        <v>45323</v>
      </c>
      <c r="C2" s="3">
        <v>45351</v>
      </c>
      <c r="D2" s="1" t="s">
        <v>0</v>
      </c>
      <c r="E2" s="1">
        <v>215517.91</v>
      </c>
      <c r="F2">
        <v>16739.2</v>
      </c>
    </row>
    <row r="3" spans="1:8" ht="18" x14ac:dyDescent="0.2">
      <c r="A3" s="2"/>
      <c r="B3" s="3">
        <v>45352</v>
      </c>
      <c r="C3" s="3">
        <v>45382</v>
      </c>
      <c r="D3" s="1" t="s">
        <v>0</v>
      </c>
      <c r="E3" s="1">
        <v>187155.44</v>
      </c>
      <c r="F3">
        <v>30817.3</v>
      </c>
    </row>
    <row r="4" spans="1:8" ht="18" x14ac:dyDescent="0.2">
      <c r="A4" s="2"/>
      <c r="B4" s="3">
        <v>45383</v>
      </c>
      <c r="C4" s="3">
        <v>45412</v>
      </c>
      <c r="D4" s="1" t="s">
        <v>0</v>
      </c>
      <c r="E4" s="1">
        <v>117255.55</v>
      </c>
      <c r="F4">
        <v>41273.5</v>
      </c>
    </row>
    <row r="5" spans="1:8" ht="18" x14ac:dyDescent="0.2">
      <c r="A5" s="2"/>
      <c r="B5" s="3">
        <v>45413</v>
      </c>
      <c r="C5" s="3">
        <v>45443</v>
      </c>
      <c r="D5" s="1" t="s">
        <v>0</v>
      </c>
      <c r="E5" s="1">
        <v>47653.91</v>
      </c>
      <c r="F5">
        <v>43895.7</v>
      </c>
    </row>
    <row r="6" spans="1:8" ht="18" x14ac:dyDescent="0.2">
      <c r="A6" s="2"/>
      <c r="B6" s="3">
        <v>45444</v>
      </c>
      <c r="C6" s="3">
        <v>45473</v>
      </c>
      <c r="D6" s="1" t="s">
        <v>0</v>
      </c>
      <c r="E6" s="1">
        <v>33989.54</v>
      </c>
      <c r="F6">
        <v>47171.8</v>
      </c>
    </row>
    <row r="7" spans="1:8" ht="18" x14ac:dyDescent="0.2">
      <c r="A7" s="2"/>
      <c r="B7" s="3">
        <v>45474</v>
      </c>
      <c r="C7" s="3">
        <v>45504</v>
      </c>
      <c r="D7" s="1" t="s">
        <v>0</v>
      </c>
      <c r="E7" s="1">
        <v>31044.61</v>
      </c>
      <c r="F7">
        <v>45760.4</v>
      </c>
    </row>
    <row r="8" spans="1:8" ht="18" x14ac:dyDescent="0.2">
      <c r="A8" s="2"/>
      <c r="B8" s="3">
        <v>45505</v>
      </c>
      <c r="C8" s="3">
        <v>45535</v>
      </c>
      <c r="D8" s="1" t="s">
        <v>0</v>
      </c>
      <c r="E8" s="1">
        <v>40732.800000000003</v>
      </c>
      <c r="F8">
        <v>41346.300000000003</v>
      </c>
    </row>
    <row r="9" spans="1:8" ht="18" x14ac:dyDescent="0.2">
      <c r="A9" s="2"/>
      <c r="B9" s="3">
        <v>45536</v>
      </c>
      <c r="C9" s="3">
        <v>45565</v>
      </c>
      <c r="D9" s="1" t="s">
        <v>0</v>
      </c>
      <c r="E9" s="1">
        <v>67490.13</v>
      </c>
      <c r="F9">
        <v>32497</v>
      </c>
    </row>
    <row r="10" spans="1:8" ht="18" x14ac:dyDescent="0.2">
      <c r="A10" s="2"/>
      <c r="B10" s="3">
        <v>45566</v>
      </c>
      <c r="C10" s="3">
        <v>45596</v>
      </c>
      <c r="D10" s="1" t="s">
        <v>0</v>
      </c>
      <c r="E10" s="1">
        <v>136489.74</v>
      </c>
      <c r="F10">
        <v>25880</v>
      </c>
    </row>
    <row r="11" spans="1:8" ht="18" x14ac:dyDescent="0.2">
      <c r="A11" s="2"/>
      <c r="B11" s="3">
        <v>45597</v>
      </c>
      <c r="C11" s="3">
        <v>45626</v>
      </c>
      <c r="D11" s="1" t="s">
        <v>0</v>
      </c>
      <c r="E11" s="1">
        <v>191172.89</v>
      </c>
      <c r="F11">
        <v>18308.3</v>
      </c>
    </row>
    <row r="12" spans="1:8" ht="18" x14ac:dyDescent="0.2">
      <c r="A12" s="2"/>
      <c r="B12" s="3">
        <v>45627</v>
      </c>
      <c r="C12" s="3">
        <v>45657</v>
      </c>
      <c r="D12" s="1" t="s">
        <v>0</v>
      </c>
      <c r="E12" s="1">
        <v>248642.75</v>
      </c>
      <c r="F12">
        <v>12477.5</v>
      </c>
    </row>
    <row r="14" spans="1:8" x14ac:dyDescent="0.2">
      <c r="E14">
        <f>SUM(E1:E12)</f>
        <v>1581314.12</v>
      </c>
      <c r="F14">
        <f>SUM(F1:F12)</f>
        <v>372985.4</v>
      </c>
      <c r="G14">
        <f>F14*0.039/1000</f>
        <v>14.546430600000001</v>
      </c>
      <c r="H14" t="s">
        <v>3</v>
      </c>
    </row>
    <row r="15" spans="1:8" x14ac:dyDescent="0.2">
      <c r="E15" t="s">
        <v>1</v>
      </c>
      <c r="F15" t="s">
        <v>2</v>
      </c>
    </row>
    <row r="16" spans="1:8" x14ac:dyDescent="0.2">
      <c r="E16">
        <f>E14-F14</f>
        <v>1208328.7200000002</v>
      </c>
      <c r="F16">
        <f>F14</f>
        <v>372985.4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Zhang</dc:creator>
  <cp:lastModifiedBy>William Zhang</cp:lastModifiedBy>
  <dcterms:created xsi:type="dcterms:W3CDTF">2026-07-04T16:25:38Z</dcterms:created>
  <dcterms:modified xsi:type="dcterms:W3CDTF">2026-07-04T17:58:27Z</dcterms:modified>
</cp:coreProperties>
</file>